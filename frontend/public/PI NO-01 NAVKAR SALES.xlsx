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8" windowWidth="20112" windowHeight="8448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25" i="1" l="1"/>
  <c r="G25" i="1"/>
  <c r="F25" i="1"/>
  <c r="N21" i="1"/>
  <c r="N22" i="1"/>
  <c r="N23" i="1"/>
  <c r="N24" i="1"/>
  <c r="E21" i="1"/>
  <c r="E22" i="1"/>
  <c r="E23" i="1"/>
  <c r="E24" i="1"/>
  <c r="D21" i="1"/>
  <c r="G21" i="1" s="1"/>
  <c r="L21" i="1" s="1"/>
  <c r="D22" i="1"/>
  <c r="G22" i="1" s="1"/>
  <c r="L22" i="1" s="1"/>
  <c r="D23" i="1"/>
  <c r="D24" i="1"/>
  <c r="G24" i="1" s="1"/>
  <c r="L24" i="1" s="1"/>
  <c r="G23" i="1" l="1"/>
  <c r="L23" i="1" s="1"/>
  <c r="E20" i="1"/>
  <c r="D20" i="1"/>
  <c r="N20" i="1" l="1"/>
  <c r="G20" i="1" l="1"/>
  <c r="L20" i="1" l="1"/>
  <c r="G31" i="1"/>
  <c r="L28" i="1"/>
  <c r="L30" i="1" l="1"/>
  <c r="J31" i="1"/>
  <c r="M33" i="1" l="1"/>
  <c r="M34" i="1" s="1"/>
  <c r="M35" i="1" s="1"/>
  <c r="M37" i="1" l="1"/>
  <c r="M36" i="1"/>
  <c r="M40" i="1" s="1"/>
</calcChain>
</file>

<file path=xl/sharedStrings.xml><?xml version="1.0" encoding="utf-8"?>
<sst xmlns="http://schemas.openxmlformats.org/spreadsheetml/2006/main" count="95" uniqueCount="89">
  <si>
    <r>
      <rPr>
        <b/>
        <sz val="9"/>
        <rFont val="Arial"/>
        <family val="2"/>
      </rPr>
      <t>Sr.N</t>
    </r>
  </si>
  <si>
    <r>
      <rPr>
        <sz val="9"/>
        <rFont val="Arial"/>
        <family val="2"/>
      </rPr>
      <t>Width</t>
    </r>
  </si>
  <si>
    <r>
      <rPr>
        <sz val="9"/>
        <rFont val="Arial"/>
        <family val="2"/>
      </rPr>
      <t>Height</t>
    </r>
  </si>
  <si>
    <r>
      <rPr>
        <b/>
        <sz val="9"/>
        <rFont val="Arial"/>
        <family val="2"/>
      </rPr>
      <t>Qty.</t>
    </r>
  </si>
  <si>
    <r>
      <rPr>
        <b/>
        <sz val="9"/>
        <rFont val="Arial"/>
        <family val="2"/>
      </rPr>
      <t>Tot. Chg. SQM</t>
    </r>
  </si>
  <si>
    <r>
      <rPr>
        <b/>
        <sz val="9"/>
        <rFont val="Arial"/>
        <family val="2"/>
      </rPr>
      <t xml:space="preserve">Rate / Sq.
</t>
    </r>
    <r>
      <rPr>
        <b/>
        <sz val="9"/>
        <rFont val="Arial"/>
        <family val="2"/>
      </rPr>
      <t>Mtr.</t>
    </r>
  </si>
  <si>
    <r>
      <rPr>
        <b/>
        <sz val="9"/>
        <rFont val="Arial"/>
        <family val="2"/>
      </rPr>
      <t>Holes</t>
    </r>
  </si>
  <si>
    <r>
      <rPr>
        <b/>
        <sz val="9"/>
        <rFont val="Arial"/>
        <family val="2"/>
      </rPr>
      <t>Cnt. Holes</t>
    </r>
  </si>
  <si>
    <r>
      <rPr>
        <b/>
        <sz val="9"/>
        <rFont val="Arial"/>
        <family val="2"/>
      </rPr>
      <t>Cut Out.</t>
    </r>
  </si>
  <si>
    <r>
      <rPr>
        <b/>
        <sz val="9"/>
        <rFont val="Arial"/>
        <family val="2"/>
      </rPr>
      <t>Value in INR</t>
    </r>
  </si>
  <si>
    <r>
      <rPr>
        <b/>
        <sz val="9"/>
        <rFont val="Arial"/>
        <family val="2"/>
      </rPr>
      <t>Remark</t>
    </r>
  </si>
  <si>
    <r>
      <rPr>
        <b/>
        <sz val="9"/>
        <rFont val="Arial"/>
        <family val="2"/>
      </rPr>
      <t>Sqft Rate</t>
    </r>
  </si>
  <si>
    <r>
      <rPr>
        <sz val="9"/>
        <rFont val="Arial"/>
        <family val="2"/>
      </rPr>
      <t>ChargeSize-MM</t>
    </r>
  </si>
  <si>
    <t>Performa invoice</t>
  </si>
  <si>
    <t>Ref. No:-</t>
  </si>
  <si>
    <t>P.O. No:-</t>
  </si>
  <si>
    <t>E Mail</t>
  </si>
  <si>
    <t>W.O. NO:</t>
  </si>
  <si>
    <t>Holes,cutouts &amp;counter Shunk Hole Quantity is per pcs</t>
  </si>
  <si>
    <t>Total Summary:</t>
  </si>
  <si>
    <t>Qty:-</t>
  </si>
  <si>
    <t>SQM:-</t>
  </si>
  <si>
    <t>BASIC AMOUNT</t>
  </si>
  <si>
    <t>Assessable value</t>
  </si>
  <si>
    <t>ROUND OFF</t>
  </si>
  <si>
    <t>Grand Total</t>
  </si>
  <si>
    <t>state Code&amp; State :                         PAN NO.</t>
  </si>
  <si>
    <t>GSTIN :                                                 CIN No :</t>
  </si>
  <si>
    <t>Payment Terms:</t>
  </si>
  <si>
    <t>100% ADVANCE VIA BANK</t>
  </si>
  <si>
    <t>Packing style :- NONE</t>
  </si>
  <si>
    <t>Note :                               UNLOADING BY BUYER</t>
  </si>
  <si>
    <t>Delivery Period:</t>
  </si>
  <si>
    <t>Please confirm the order by return fax with signature and the stamp of</t>
  </si>
  <si>
    <t>authourised official.</t>
  </si>
  <si>
    <t>Order will be processed onlyafter the receipt date of technically and commercially</t>
  </si>
  <si>
    <t>clear purchase and /or L/C Accepted proforma invoice.</t>
  </si>
  <si>
    <t>TERMS AND CONDITIONS:</t>
  </si>
  <si>
    <t>1 FREIGHT &amp; CARTAGE EXTRA AS ACTUAL.</t>
  </si>
  <si>
    <t xml:space="preserve">2LOADING &amp; UNLOADING CHARGES EXTRA </t>
  </si>
  <si>
    <t>3 JUMBO SIZE (5SQMT &amp; ABOVE-15% EXTRA CHARGE).</t>
  </si>
  <si>
    <t>4 ITEM BEING CUSTOM MADE, ORDER ONE PLACE SHALL NOT BE CANCELLED.</t>
  </si>
  <si>
    <t>5 FOR ANNEALED GLASS 100% TRANSIT BREAKAGE AT YOUR RISK</t>
  </si>
  <si>
    <t>CHARGABLE SIZE :-</t>
  </si>
  <si>
    <t>1. TOUGHENED GLASS (ROUND OFF TO3")</t>
  </si>
  <si>
    <t>DELIEVERY OF PERIODS:-</t>
  </si>
  <si>
    <t>1. TOUGHENED GLASS(5-6DAYS)</t>
  </si>
  <si>
    <t>HOLE</t>
  </si>
  <si>
    <t>@INR</t>
  </si>
  <si>
    <t>HOLES</t>
  </si>
  <si>
    <t>Actual Size- INCH</t>
  </si>
  <si>
    <t>SHREE RAM GLASS</t>
  </si>
  <si>
    <t>DNNPK4826H</t>
  </si>
  <si>
    <t>A/C NO: 50200070616347            RTGS/IFSC CODE-HDFC0005149</t>
  </si>
  <si>
    <t>Freight charge</t>
  </si>
  <si>
    <t xml:space="preserve"> CUTOUTS</t>
  </si>
  <si>
    <t>BIG CUTOUTS</t>
  </si>
  <si>
    <t>mob:-</t>
  </si>
  <si>
    <t>TAMPLATE CUTING CHARGE</t>
  </si>
  <si>
    <t>05%</t>
  </si>
  <si>
    <t>WASTAGE CHARGE</t>
  </si>
  <si>
    <t>Invoice To:- NAVKAR SALES</t>
  </si>
  <si>
    <t>UDAIPUR RAJASTHAN INDIA</t>
  </si>
  <si>
    <t>Dispatch To:-NAVKAR SALES</t>
  </si>
  <si>
    <t>GSTIN:08CMVPK8015J1ZF   UID/Adhaar:</t>
  </si>
  <si>
    <t>GSTIN: 08CMVPK8015J1ZF  UID/Adhaar:</t>
  </si>
  <si>
    <t>Delivery schedul may vary if some technical problem arie</t>
  </si>
  <si>
    <t>Authourised By RIYA TUFF GLASS PVT LTD.</t>
  </si>
  <si>
    <t>DUNGARPUR</t>
  </si>
  <si>
    <t>INSURANCE</t>
  </si>
  <si>
    <t>0.5%</t>
  </si>
  <si>
    <t>TOUGHENED-  12MM CLEAR SAINT GOBIN TOUGHENED GLASS  WITH POLISH</t>
  </si>
  <si>
    <t>Ground floor shop no.04 kaladwas Eklingpura Udaipur</t>
  </si>
  <si>
    <t>UDAIPUR RAJASTHAN INDIA-313003</t>
  </si>
  <si>
    <t>Performa No.-PI2025/01</t>
  </si>
  <si>
    <t xml:space="preserve"> 08DNNPK4826H1ZM</t>
  </si>
  <si>
    <t>Bank Detail : HDFC BANK  Branch:-HDFC BANK 100 SANGHI STREET MHOW453441</t>
  </si>
  <si>
    <t xml:space="preserve">Head Office-First Floor ,Plot No.38 ,Maruti Nagar ,Mhow Goan,Indore madhya pradesh-453441
</t>
  </si>
  <si>
    <t>CGST</t>
  </si>
  <si>
    <t>SGST</t>
  </si>
  <si>
    <t>09%</t>
  </si>
  <si>
    <t>100%</t>
  </si>
  <si>
    <t>77 4/8</t>
  </si>
  <si>
    <t>65 7/8</t>
  </si>
  <si>
    <t>26 2/8</t>
  </si>
  <si>
    <t>48 4/8</t>
  </si>
  <si>
    <t>Project:-                                                                       Date:01-4-2025</t>
  </si>
  <si>
    <t>state code &amp; state:RAJASTHAN INDIA</t>
  </si>
  <si>
    <t>state code &amp; state: RAJASTHAN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</si>
</sst>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2" x14ac:knownFonts="1">
    <font>
      <sz val="11"/>
      <color theme="1"/>
      <name val="Calibri"/>
      <family val="2"/>
      <scheme val="minor"/>
    </font>
    <font>
      <b/>
      <sz val="9"/>
      <name val="Arial"/>
    </font>
    <font>
      <b/>
      <sz val="9"/>
      <name val="Arial"/>
      <family val="2"/>
    </font>
    <font>
      <sz val="9"/>
      <name val="Arial"/>
    </font>
    <font>
      <sz val="9"/>
      <name val="Arial"/>
      <family val="2"/>
    </font>
    <font>
      <sz val="7"/>
      <name val="Arial"/>
    </font>
    <font>
      <sz val="7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2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b/>
      <i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2"/>
    </xf>
    <xf numFmtId="0" fontId="11" fillId="0" borderId="2" xfId="0" applyFont="1" applyBorder="1"/>
    <xf numFmtId="0" fontId="11" fillId="0" borderId="3" xfId="0" applyFont="1" applyBorder="1"/>
    <xf numFmtId="0" fontId="9" fillId="0" borderId="5" xfId="0" applyFont="1" applyBorder="1"/>
    <xf numFmtId="0" fontId="9" fillId="0" borderId="0" xfId="0" applyFont="1" applyBorder="1"/>
    <xf numFmtId="0" fontId="12" fillId="0" borderId="5" xfId="0" applyFont="1" applyBorder="1"/>
    <xf numFmtId="0" fontId="12" fillId="0" borderId="0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5" xfId="0" applyFont="1" applyFill="1" applyBorder="1"/>
    <xf numFmtId="0" fontId="10" fillId="0" borderId="2" xfId="0" applyFont="1" applyFill="1" applyBorder="1"/>
    <xf numFmtId="0" fontId="10" fillId="0" borderId="3" xfId="0" applyFont="1" applyBorder="1"/>
    <xf numFmtId="0" fontId="12" fillId="0" borderId="7" xfId="0" applyFont="1" applyFill="1" applyBorder="1"/>
    <xf numFmtId="0" fontId="11" fillId="0" borderId="5" xfId="0" applyFont="1" applyBorder="1"/>
    <xf numFmtId="0" fontId="11" fillId="0" borderId="0" xfId="0" applyFont="1" applyBorder="1"/>
    <xf numFmtId="0" fontId="0" fillId="0" borderId="0" xfId="0" applyBorder="1" applyAlignment="1">
      <alignment horizontal="left"/>
    </xf>
    <xf numFmtId="1" fontId="9" fillId="0" borderId="0" xfId="0" applyNumberFormat="1" applyFont="1" applyBorder="1"/>
    <xf numFmtId="2" fontId="9" fillId="0" borderId="0" xfId="0" applyNumberFormat="1" applyFont="1" applyBorder="1"/>
    <xf numFmtId="0" fontId="9" fillId="0" borderId="5" xfId="0" applyFont="1" applyBorder="1" applyAlignment="1"/>
    <xf numFmtId="0" fontId="9" fillId="0" borderId="0" xfId="0" applyFont="1" applyBorder="1" applyAlignment="1"/>
    <xf numFmtId="1" fontId="9" fillId="0" borderId="0" xfId="0" applyNumberFormat="1" applyFont="1" applyBorder="1" applyAlignment="1"/>
    <xf numFmtId="0" fontId="9" fillId="0" borderId="0" xfId="0" quotePrefix="1" applyFont="1" applyBorder="1" applyAlignment="1"/>
    <xf numFmtId="0" fontId="9" fillId="0" borderId="6" xfId="0" applyFont="1" applyBorder="1" applyAlignment="1"/>
    <xf numFmtId="0" fontId="0" fillId="0" borderId="7" xfId="0" applyBorder="1" applyAlignment="1">
      <alignment vertical="top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0" fillId="2" borderId="9" xfId="0" applyFill="1" applyBorder="1" applyAlignment="1"/>
    <xf numFmtId="0" fontId="18" fillId="0" borderId="12" xfId="0" applyFont="1" applyBorder="1"/>
    <xf numFmtId="0" fontId="9" fillId="2" borderId="5" xfId="0" applyFont="1" applyFill="1" applyBorder="1"/>
    <xf numFmtId="0" fontId="0" fillId="2" borderId="0" xfId="0" applyFill="1" applyBorder="1"/>
    <xf numFmtId="0" fontId="0" fillId="2" borderId="6" xfId="0" applyFill="1" applyBorder="1"/>
    <xf numFmtId="0" fontId="15" fillId="2" borderId="5" xfId="0" applyFont="1" applyFill="1" applyBorder="1"/>
    <xf numFmtId="0" fontId="15" fillId="2" borderId="0" xfId="0" applyFont="1" applyFill="1" applyBorder="1"/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2" borderId="0" xfId="0" applyFont="1" applyFill="1" applyBorder="1" applyAlignment="1"/>
    <xf numFmtId="0" fontId="12" fillId="2" borderId="6" xfId="0" applyFont="1" applyFill="1" applyBorder="1" applyAlignment="1"/>
    <xf numFmtId="0" fontId="12" fillId="2" borderId="5" xfId="0" applyFont="1" applyFill="1" applyBorder="1" applyAlignment="1"/>
    <xf numFmtId="0" fontId="0" fillId="0" borderId="0" xfId="0" applyBorder="1" applyAlignment="1">
      <alignment horizontal="left"/>
    </xf>
    <xf numFmtId="0" fontId="0" fillId="0" borderId="14" xfId="0" applyFill="1" applyBorder="1" applyAlignment="1">
      <alignment horizontal="left" wrapText="1"/>
    </xf>
    <xf numFmtId="1" fontId="8" fillId="0" borderId="14" xfId="0" applyNumberFormat="1" applyFont="1" applyFill="1" applyBorder="1" applyAlignment="1">
      <alignment horizontal="center" vertical="top" shrinkToFit="1"/>
    </xf>
    <xf numFmtId="2" fontId="7" fillId="0" borderId="14" xfId="0" applyNumberFormat="1" applyFont="1" applyFill="1" applyBorder="1" applyAlignment="1">
      <alignment horizontal="left" vertical="top" indent="3" shrinkToFit="1"/>
    </xf>
    <xf numFmtId="1" fontId="8" fillId="0" borderId="14" xfId="0" applyNumberFormat="1" applyFont="1" applyFill="1" applyBorder="1" applyAlignment="1">
      <alignment horizontal="right" vertical="top" indent="1" shrinkToFit="1"/>
    </xf>
    <xf numFmtId="4" fontId="8" fillId="0" borderId="14" xfId="0" applyNumberFormat="1" applyFont="1" applyFill="1" applyBorder="1" applyAlignment="1">
      <alignment horizontal="right" vertical="top" shrinkToFit="1"/>
    </xf>
    <xf numFmtId="0" fontId="12" fillId="0" borderId="14" xfId="0" applyFont="1" applyFill="1" applyBorder="1" applyAlignment="1">
      <alignment horizontal="center" wrapText="1"/>
    </xf>
    <xf numFmtId="1" fontId="14" fillId="0" borderId="14" xfId="0" applyNumberFormat="1" applyFont="1" applyFill="1" applyBorder="1" applyAlignment="1">
      <alignment horizontal="center" vertical="top" shrinkToFit="1"/>
    </xf>
    <xf numFmtId="2" fontId="14" fillId="0" borderId="14" xfId="0" applyNumberFormat="1" applyFont="1" applyFill="1" applyBorder="1" applyAlignment="1">
      <alignment horizontal="center" vertical="top" shrinkToFit="1"/>
    </xf>
    <xf numFmtId="165" fontId="14" fillId="0" borderId="14" xfId="0" applyNumberFormat="1" applyFont="1" applyFill="1" applyBorder="1" applyAlignment="1">
      <alignment horizontal="center" vertical="top" shrinkToFit="1"/>
    </xf>
    <xf numFmtId="1" fontId="9" fillId="0" borderId="0" xfId="0" quotePrefix="1" applyNumberFormat="1" applyFont="1" applyBorder="1" applyAlignment="1"/>
    <xf numFmtId="164" fontId="9" fillId="0" borderId="0" xfId="0" applyNumberFormat="1" applyFont="1" applyBorder="1" applyAlignment="1"/>
    <xf numFmtId="0" fontId="12" fillId="0" borderId="5" xfId="0" applyFont="1" applyBorder="1" applyAlignment="1">
      <alignment vertical="top"/>
    </xf>
    <xf numFmtId="1" fontId="13" fillId="0" borderId="14" xfId="0" applyNumberFormat="1" applyFont="1" applyFill="1" applyBorder="1" applyAlignment="1">
      <alignment horizontal="center" vertical="top" shrinkToFit="1"/>
    </xf>
    <xf numFmtId="164" fontId="13" fillId="0" borderId="14" xfId="0" quotePrefix="1" applyNumberFormat="1" applyFont="1" applyFill="1" applyBorder="1" applyAlignment="1">
      <alignment horizontal="center" vertical="top" shrinkToFit="1"/>
    </xf>
    <xf numFmtId="1" fontId="13" fillId="0" borderId="14" xfId="0" quotePrefix="1" applyNumberFormat="1" applyFont="1" applyFill="1" applyBorder="1" applyAlignment="1">
      <alignment horizontal="center" vertical="top" shrinkToFit="1"/>
    </xf>
    <xf numFmtId="1" fontId="13" fillId="0" borderId="14" xfId="0" applyNumberFormat="1" applyFont="1" applyFill="1" applyBorder="1" applyAlignment="1">
      <alignment horizontal="left" vertical="top" indent="2" shrinkToFit="1"/>
    </xf>
    <xf numFmtId="2" fontId="13" fillId="0" borderId="14" xfId="0" applyNumberFormat="1" applyFont="1" applyFill="1" applyBorder="1" applyAlignment="1">
      <alignment horizontal="left" vertical="top" indent="1" shrinkToFit="1"/>
    </xf>
    <xf numFmtId="3" fontId="13" fillId="0" borderId="14" xfId="0" applyNumberFormat="1" applyFont="1" applyFill="1" applyBorder="1" applyAlignment="1">
      <alignment horizontal="center" vertical="top" shrinkToFit="1"/>
    </xf>
    <xf numFmtId="165" fontId="13" fillId="0" borderId="14" xfId="0" applyNumberFormat="1" applyFont="1" applyFill="1" applyBorder="1" applyAlignment="1">
      <alignment horizontal="center" vertical="top" shrinkToFit="1"/>
    </xf>
    <xf numFmtId="2" fontId="13" fillId="0" borderId="14" xfId="0" applyNumberFormat="1" applyFont="1" applyFill="1" applyBorder="1" applyAlignment="1">
      <alignment horizontal="right" vertical="top" shrinkToFit="1"/>
    </xf>
    <xf numFmtId="0" fontId="20" fillId="0" borderId="14" xfId="0" applyFont="1" applyFill="1" applyBorder="1" applyAlignment="1">
      <alignment horizontal="center" vertical="top" wrapText="1"/>
    </xf>
    <xf numFmtId="3" fontId="9" fillId="0" borderId="0" xfId="0" applyNumberFormat="1" applyFont="1" applyBorder="1" applyAlignment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quotePrefix="1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0" fontId="17" fillId="0" borderId="10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center" vertical="top" wrapText="1"/>
    </xf>
    <xf numFmtId="2" fontId="9" fillId="0" borderId="5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0" fontId="6" fillId="0" borderId="15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left" vertical="top" wrapText="1"/>
    </xf>
    <xf numFmtId="4" fontId="9" fillId="0" borderId="5" xfId="0" applyNumberFormat="1" applyFont="1" applyBorder="1" applyAlignment="1">
      <alignment horizontal="center"/>
    </xf>
    <xf numFmtId="4" fontId="9" fillId="0" borderId="6" xfId="0" applyNumberFormat="1" applyFont="1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4" fontId="9" fillId="0" borderId="2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0" borderId="15" xfId="0" applyFont="1" applyFill="1" applyBorder="1" applyAlignment="1">
      <alignment horizontal="left" vertical="top" wrapText="1" indent="2"/>
    </xf>
    <xf numFmtId="0" fontId="3" fillId="0" borderId="16" xfId="0" applyFont="1" applyFill="1" applyBorder="1" applyAlignment="1">
      <alignment horizontal="left" vertical="top" wrapText="1" indent="2"/>
    </xf>
    <xf numFmtId="0" fontId="11" fillId="0" borderId="0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1" fillId="0" borderId="5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5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9"/>
  <sheetViews>
    <sheetView tabSelected="1" workbookViewId="0">
      <selection activeCell="H15" sqref="H15:N15"/>
    </sheetView>
  </sheetViews>
  <sheetFormatPr defaultRowHeight="14.4" x14ac:dyDescent="0.3"/>
  <cols>
    <col min="7" max="7" width="9" customWidth="1"/>
    <col min="9" max="9" width="6.6640625" customWidth="1"/>
    <col min="10" max="10" width="7" customWidth="1"/>
    <col min="11" max="11" width="5.33203125" customWidth="1"/>
    <col min="12" max="12" width="8.6640625" customWidth="1"/>
    <col min="13" max="13" width="8.33203125" customWidth="1"/>
    <col min="14" max="14" width="9.5546875" customWidth="1"/>
    <col min="15" max="15" width="3.77734375" customWidth="1"/>
  </cols>
  <sheetData>
    <row r="2" spans="1:15" ht="15" thickBot="1" x14ac:dyDescent="0.3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5" ht="18.600000000000001" thickBot="1" x14ac:dyDescent="0.4">
      <c r="A3" s="118" t="s">
        <v>51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20"/>
      <c r="O3" s="133"/>
    </row>
    <row r="4" spans="1:15" ht="15.6" x14ac:dyDescent="0.3">
      <c r="A4" s="139" t="s">
        <v>72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1"/>
      <c r="O4" s="133"/>
    </row>
    <row r="5" spans="1:15" ht="18" customHeight="1" x14ac:dyDescent="0.3">
      <c r="A5" s="145" t="s">
        <v>73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7"/>
      <c r="O5" s="133"/>
    </row>
    <row r="6" spans="1:15" ht="24" customHeight="1" thickBot="1" x14ac:dyDescent="0.35">
      <c r="A6" s="142" t="s">
        <v>77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4"/>
      <c r="O6" s="133"/>
    </row>
    <row r="7" spans="1:15" ht="15" thickBot="1" x14ac:dyDescent="0.35">
      <c r="A7" s="124" t="s">
        <v>13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6"/>
      <c r="O7" s="133"/>
    </row>
    <row r="8" spans="1:15" ht="15" thickBot="1" x14ac:dyDescent="0.35">
      <c r="A8" s="106" t="s">
        <v>74</v>
      </c>
      <c r="B8" s="107"/>
      <c r="C8" s="107"/>
      <c r="D8" s="107"/>
      <c r="E8" s="107"/>
      <c r="F8" s="107"/>
      <c r="G8" s="108"/>
      <c r="H8" s="106" t="s">
        <v>86</v>
      </c>
      <c r="I8" s="107"/>
      <c r="J8" s="107"/>
      <c r="K8" s="107"/>
      <c r="L8" s="107"/>
      <c r="M8" s="107"/>
      <c r="N8" s="108"/>
      <c r="O8" s="133"/>
    </row>
    <row r="9" spans="1:15" ht="15" thickBot="1" x14ac:dyDescent="0.35">
      <c r="A9" s="106" t="s">
        <v>14</v>
      </c>
      <c r="B9" s="107"/>
      <c r="C9" s="107"/>
      <c r="D9" s="107"/>
      <c r="E9" s="107"/>
      <c r="F9" s="107"/>
      <c r="G9" s="108"/>
      <c r="H9" s="106" t="s">
        <v>15</v>
      </c>
      <c r="I9" s="107"/>
      <c r="J9" s="107"/>
      <c r="K9" s="107"/>
      <c r="L9" s="107"/>
      <c r="M9" s="107"/>
      <c r="N9" s="108"/>
      <c r="O9" s="133"/>
    </row>
    <row r="10" spans="1:15" x14ac:dyDescent="0.3">
      <c r="A10" s="127" t="s">
        <v>61</v>
      </c>
      <c r="B10" s="128"/>
      <c r="C10" s="128"/>
      <c r="D10" s="128"/>
      <c r="E10" s="128"/>
      <c r="F10" s="128"/>
      <c r="G10" s="129"/>
      <c r="H10" s="127" t="s">
        <v>63</v>
      </c>
      <c r="I10" s="128"/>
      <c r="J10" s="128"/>
      <c r="K10" s="128"/>
      <c r="L10" s="128"/>
      <c r="M10" s="128"/>
      <c r="N10" s="129"/>
      <c r="O10" s="133"/>
    </row>
    <row r="11" spans="1:15" x14ac:dyDescent="0.3">
      <c r="A11" s="74" t="s">
        <v>62</v>
      </c>
      <c r="B11" s="9"/>
      <c r="C11" s="9"/>
      <c r="D11" s="9"/>
      <c r="E11" s="9"/>
      <c r="F11" s="9"/>
      <c r="G11" s="10"/>
      <c r="H11" s="74" t="s">
        <v>68</v>
      </c>
      <c r="I11" s="9"/>
      <c r="J11" s="9"/>
      <c r="K11" s="9"/>
      <c r="L11" s="9"/>
      <c r="M11" s="9"/>
      <c r="N11" s="10"/>
      <c r="O11" s="133"/>
    </row>
    <row r="12" spans="1:15" ht="15" thickBot="1" x14ac:dyDescent="0.35">
      <c r="A12" s="40" t="s">
        <v>57</v>
      </c>
      <c r="B12" s="11"/>
      <c r="C12" s="11"/>
      <c r="D12" s="11"/>
      <c r="E12" s="11"/>
      <c r="F12" s="11"/>
      <c r="G12" s="12"/>
      <c r="H12" s="40" t="s">
        <v>57</v>
      </c>
      <c r="I12" s="11"/>
      <c r="J12" s="11"/>
      <c r="K12" s="11"/>
      <c r="L12" s="11"/>
      <c r="M12" s="11"/>
      <c r="N12" s="12"/>
      <c r="O12" s="133"/>
    </row>
    <row r="13" spans="1:15" x14ac:dyDescent="0.3">
      <c r="A13" s="96" t="s">
        <v>16</v>
      </c>
      <c r="B13" s="97"/>
      <c r="C13" s="97"/>
      <c r="D13" s="97"/>
      <c r="E13" s="97"/>
      <c r="F13" s="97"/>
      <c r="G13" s="98"/>
      <c r="H13" s="96" t="s">
        <v>17</v>
      </c>
      <c r="I13" s="97"/>
      <c r="J13" s="97"/>
      <c r="K13" s="97"/>
      <c r="L13" s="97"/>
      <c r="M13" s="97"/>
      <c r="N13" s="98"/>
      <c r="O13" s="133"/>
    </row>
    <row r="14" spans="1:15" x14ac:dyDescent="0.3">
      <c r="A14" s="90" t="s">
        <v>64</v>
      </c>
      <c r="B14" s="91"/>
      <c r="C14" s="91"/>
      <c r="D14" s="91"/>
      <c r="E14" s="91"/>
      <c r="F14" s="91"/>
      <c r="G14" s="92"/>
      <c r="H14" s="90" t="s">
        <v>65</v>
      </c>
      <c r="I14" s="91"/>
      <c r="J14" s="91"/>
      <c r="K14" s="91"/>
      <c r="L14" s="91"/>
      <c r="M14" s="91"/>
      <c r="N14" s="92"/>
      <c r="O14" s="133"/>
    </row>
    <row r="15" spans="1:15" ht="15" thickBot="1" x14ac:dyDescent="0.35">
      <c r="A15" s="93" t="s">
        <v>87</v>
      </c>
      <c r="B15" s="94"/>
      <c r="C15" s="94"/>
      <c r="D15" s="94"/>
      <c r="E15" s="94"/>
      <c r="F15" s="94"/>
      <c r="G15" s="95"/>
      <c r="H15" s="93" t="s">
        <v>88</v>
      </c>
      <c r="I15" s="94"/>
      <c r="J15" s="94"/>
      <c r="K15" s="94"/>
      <c r="L15" s="94"/>
      <c r="M15" s="94"/>
      <c r="N15" s="95"/>
      <c r="O15" s="133"/>
    </row>
    <row r="16" spans="1:15" ht="15" thickBot="1" x14ac:dyDescent="0.35">
      <c r="A16" s="103" t="s">
        <v>71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133"/>
    </row>
    <row r="17" spans="1:15" ht="15" thickBot="1" x14ac:dyDescent="0.35">
      <c r="A17" s="106" t="s">
        <v>18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8"/>
      <c r="O17" s="133"/>
    </row>
    <row r="18" spans="1:15" x14ac:dyDescent="0.3">
      <c r="A18" s="109" t="s">
        <v>0</v>
      </c>
      <c r="B18" s="13" t="s">
        <v>1</v>
      </c>
      <c r="C18" s="14" t="s">
        <v>2</v>
      </c>
      <c r="D18" s="15" t="s">
        <v>1</v>
      </c>
      <c r="E18" s="13" t="s">
        <v>2</v>
      </c>
      <c r="F18" s="110" t="s">
        <v>3</v>
      </c>
      <c r="G18" s="109" t="s">
        <v>4</v>
      </c>
      <c r="H18" s="111" t="s">
        <v>5</v>
      </c>
      <c r="I18" s="110" t="s">
        <v>6</v>
      </c>
      <c r="J18" s="109" t="s">
        <v>7</v>
      </c>
      <c r="K18" s="110" t="s">
        <v>8</v>
      </c>
      <c r="L18" s="109" t="s">
        <v>9</v>
      </c>
      <c r="M18" s="109" t="s">
        <v>10</v>
      </c>
      <c r="N18" s="110" t="s">
        <v>11</v>
      </c>
      <c r="O18" s="133"/>
    </row>
    <row r="19" spans="1:15" x14ac:dyDescent="0.3">
      <c r="A19" s="109"/>
      <c r="B19" s="114" t="s">
        <v>50</v>
      </c>
      <c r="C19" s="115"/>
      <c r="D19" s="130" t="s">
        <v>12</v>
      </c>
      <c r="E19" s="131"/>
      <c r="F19" s="110"/>
      <c r="G19" s="109"/>
      <c r="H19" s="111"/>
      <c r="I19" s="110"/>
      <c r="J19" s="109"/>
      <c r="K19" s="110"/>
      <c r="L19" s="109"/>
      <c r="M19" s="109"/>
      <c r="N19" s="110"/>
      <c r="O19" s="133"/>
    </row>
    <row r="20" spans="1:15" ht="14.25" customHeight="1" x14ac:dyDescent="0.3">
      <c r="A20" s="75">
        <v>1</v>
      </c>
      <c r="B20" s="76" t="s">
        <v>82</v>
      </c>
      <c r="C20" s="77">
        <v>33</v>
      </c>
      <c r="D20" s="78">
        <f>(B20*25.4+26.4)</f>
        <v>1994.9</v>
      </c>
      <c r="E20" s="75">
        <f>(C20*25.4+26.4)</f>
        <v>864.59999999999991</v>
      </c>
      <c r="F20" s="75">
        <v>2</v>
      </c>
      <c r="G20" s="79">
        <f t="shared" ref="G20:G24" si="0">(D20*E20/1000000*F20)</f>
        <v>3.4495810799999997</v>
      </c>
      <c r="H20" s="80">
        <v>1396</v>
      </c>
      <c r="I20" s="75"/>
      <c r="J20" s="75"/>
      <c r="K20" s="75"/>
      <c r="L20" s="81">
        <f t="shared" ref="L20:L24" si="1">(G20*H20)</f>
        <v>4815.6151876799995</v>
      </c>
      <c r="M20" s="83"/>
      <c r="N20" s="82">
        <f t="shared" ref="N20:N24" si="2">(H20/10.764)</f>
        <v>129.69156447417319</v>
      </c>
      <c r="O20" s="133"/>
    </row>
    <row r="21" spans="1:15" ht="14.25" customHeight="1" x14ac:dyDescent="0.3">
      <c r="A21" s="75">
        <v>2</v>
      </c>
      <c r="B21" s="76" t="s">
        <v>83</v>
      </c>
      <c r="C21" s="77">
        <v>33</v>
      </c>
      <c r="D21" s="78">
        <f t="shared" ref="D21:D24" si="3">(B21*25.4+26.4)</f>
        <v>1699.625</v>
      </c>
      <c r="E21" s="75">
        <f t="shared" ref="E21:E24" si="4">(C21*25.4+26.4)</f>
        <v>864.59999999999991</v>
      </c>
      <c r="F21" s="75">
        <v>1</v>
      </c>
      <c r="G21" s="79">
        <f t="shared" si="0"/>
        <v>1.4694957749999999</v>
      </c>
      <c r="H21" s="80">
        <v>1396</v>
      </c>
      <c r="I21" s="75"/>
      <c r="J21" s="75"/>
      <c r="K21" s="75"/>
      <c r="L21" s="81">
        <f t="shared" si="1"/>
        <v>2051.4161018999998</v>
      </c>
      <c r="M21" s="83"/>
      <c r="N21" s="82">
        <f t="shared" si="2"/>
        <v>129.69156447417319</v>
      </c>
      <c r="O21" s="133"/>
    </row>
    <row r="22" spans="1:15" ht="14.25" customHeight="1" x14ac:dyDescent="0.3">
      <c r="A22" s="75">
        <v>3</v>
      </c>
      <c r="B22" s="76" t="s">
        <v>84</v>
      </c>
      <c r="C22" s="77">
        <v>22</v>
      </c>
      <c r="D22" s="78">
        <f t="shared" si="3"/>
        <v>693.15</v>
      </c>
      <c r="E22" s="75">
        <f t="shared" si="4"/>
        <v>585.19999999999993</v>
      </c>
      <c r="F22" s="75">
        <v>1</v>
      </c>
      <c r="G22" s="79">
        <f t="shared" si="0"/>
        <v>0.40563137999999993</v>
      </c>
      <c r="H22" s="80">
        <v>1396</v>
      </c>
      <c r="I22" s="75"/>
      <c r="J22" s="75"/>
      <c r="K22" s="75"/>
      <c r="L22" s="81">
        <f t="shared" si="1"/>
        <v>566.26140647999989</v>
      </c>
      <c r="M22" s="83"/>
      <c r="N22" s="82">
        <f t="shared" si="2"/>
        <v>129.69156447417319</v>
      </c>
      <c r="O22" s="133"/>
    </row>
    <row r="23" spans="1:15" ht="14.25" customHeight="1" x14ac:dyDescent="0.3">
      <c r="A23" s="75">
        <v>4</v>
      </c>
      <c r="B23" s="76" t="s">
        <v>85</v>
      </c>
      <c r="C23" s="77">
        <v>22</v>
      </c>
      <c r="D23" s="78">
        <f t="shared" si="3"/>
        <v>1258.3</v>
      </c>
      <c r="E23" s="75">
        <f t="shared" si="4"/>
        <v>585.19999999999993</v>
      </c>
      <c r="F23" s="75">
        <v>2</v>
      </c>
      <c r="G23" s="79">
        <f t="shared" si="0"/>
        <v>1.4727143199999999</v>
      </c>
      <c r="H23" s="80">
        <v>1396</v>
      </c>
      <c r="I23" s="75"/>
      <c r="J23" s="75"/>
      <c r="K23" s="75"/>
      <c r="L23" s="81">
        <f t="shared" si="1"/>
        <v>2055.90919072</v>
      </c>
      <c r="M23" s="83"/>
      <c r="N23" s="82">
        <f t="shared" si="2"/>
        <v>129.69156447417319</v>
      </c>
      <c r="O23" s="133"/>
    </row>
    <row r="24" spans="1:15" ht="14.25" customHeight="1" x14ac:dyDescent="0.3">
      <c r="A24" s="75">
        <v>5</v>
      </c>
      <c r="B24" s="76">
        <v>25</v>
      </c>
      <c r="C24" s="77">
        <v>22</v>
      </c>
      <c r="D24" s="78">
        <f t="shared" si="3"/>
        <v>661.4</v>
      </c>
      <c r="E24" s="75">
        <f t="shared" si="4"/>
        <v>585.19999999999993</v>
      </c>
      <c r="F24" s="75">
        <v>1</v>
      </c>
      <c r="G24" s="79">
        <f t="shared" si="0"/>
        <v>0.38705127999999994</v>
      </c>
      <c r="H24" s="80">
        <v>1396</v>
      </c>
      <c r="I24" s="75"/>
      <c r="J24" s="75"/>
      <c r="K24" s="75"/>
      <c r="L24" s="81">
        <f t="shared" si="1"/>
        <v>540.32358687999988</v>
      </c>
      <c r="M24" s="83"/>
      <c r="N24" s="82">
        <f t="shared" si="2"/>
        <v>129.69156447417319</v>
      </c>
      <c r="O24" s="133"/>
    </row>
    <row r="25" spans="1:15" x14ac:dyDescent="0.3">
      <c r="A25" s="68"/>
      <c r="B25" s="68"/>
      <c r="C25" s="68"/>
      <c r="D25" s="68"/>
      <c r="E25" s="68"/>
      <c r="F25" s="69">
        <f>SUM(F20:F24)</f>
        <v>7</v>
      </c>
      <c r="G25" s="70">
        <f>SUM(G20:G24)</f>
        <v>7.1844738349999995</v>
      </c>
      <c r="H25" s="68"/>
      <c r="I25" s="69">
        <v>0</v>
      </c>
      <c r="J25" s="69">
        <v>0</v>
      </c>
      <c r="K25" s="69">
        <v>0</v>
      </c>
      <c r="L25" s="71">
        <f>SUM(L20:L24)</f>
        <v>10029.52547366</v>
      </c>
      <c r="M25" s="68"/>
      <c r="N25" s="68"/>
      <c r="O25" s="133"/>
    </row>
    <row r="26" spans="1:15" x14ac:dyDescent="0.3">
      <c r="A26" s="63"/>
      <c r="B26" s="63"/>
      <c r="C26" s="63"/>
      <c r="D26" s="63"/>
      <c r="E26" s="63"/>
      <c r="F26" s="64"/>
      <c r="G26" s="65"/>
      <c r="H26" s="63"/>
      <c r="I26" s="64"/>
      <c r="J26" s="64"/>
      <c r="K26" s="66"/>
      <c r="L26" s="67"/>
      <c r="M26" s="63"/>
      <c r="N26" s="63"/>
      <c r="O26" s="133"/>
    </row>
    <row r="27" spans="1:15" x14ac:dyDescent="0.3">
      <c r="A27" s="63"/>
      <c r="B27" s="63"/>
      <c r="C27" s="63"/>
      <c r="D27" s="63"/>
      <c r="E27" s="63"/>
      <c r="F27" s="64"/>
      <c r="G27" s="65"/>
      <c r="H27" s="63"/>
      <c r="I27" s="64"/>
      <c r="J27" s="64"/>
      <c r="K27" s="66"/>
      <c r="L27" s="67"/>
      <c r="M27" s="63"/>
      <c r="N27" s="63"/>
      <c r="O27" s="133"/>
    </row>
    <row r="28" spans="1:15" x14ac:dyDescent="0.3">
      <c r="A28" s="35" t="s">
        <v>47</v>
      </c>
      <c r="B28" s="36"/>
      <c r="C28" s="36"/>
      <c r="D28" s="37">
        <v>0</v>
      </c>
      <c r="E28" s="36" t="s">
        <v>49</v>
      </c>
      <c r="F28" s="36"/>
      <c r="G28" s="38" t="s">
        <v>48</v>
      </c>
      <c r="H28" s="36"/>
      <c r="I28" s="36"/>
      <c r="J28" s="36"/>
      <c r="K28" s="36"/>
      <c r="L28" s="36">
        <f>(D28*I28)</f>
        <v>0</v>
      </c>
      <c r="M28" s="36"/>
      <c r="N28" s="39"/>
      <c r="O28" s="133"/>
    </row>
    <row r="29" spans="1:15" x14ac:dyDescent="0.3">
      <c r="A29" s="35" t="s">
        <v>60</v>
      </c>
      <c r="B29" s="36"/>
      <c r="C29" s="36"/>
      <c r="D29" s="37"/>
      <c r="E29" s="36" t="s">
        <v>55</v>
      </c>
      <c r="F29" s="36"/>
      <c r="G29" s="38" t="s">
        <v>48</v>
      </c>
      <c r="H29" s="36"/>
      <c r="I29" s="36"/>
      <c r="J29" s="36"/>
      <c r="K29" s="36"/>
      <c r="L29" s="36">
        <v>0</v>
      </c>
      <c r="M29" s="36"/>
      <c r="N29" s="39"/>
      <c r="O29" s="133"/>
    </row>
    <row r="30" spans="1:15" x14ac:dyDescent="0.3">
      <c r="A30" s="35" t="s">
        <v>58</v>
      </c>
      <c r="B30" s="36"/>
      <c r="C30" s="36"/>
      <c r="D30" s="72" t="s">
        <v>59</v>
      </c>
      <c r="E30" s="36" t="s">
        <v>56</v>
      </c>
      <c r="F30" s="36"/>
      <c r="G30" s="38" t="s">
        <v>48</v>
      </c>
      <c r="H30" s="36"/>
      <c r="I30" s="84"/>
      <c r="J30" s="36"/>
      <c r="K30" s="36"/>
      <c r="L30" s="73">
        <f>(I30*5/100)</f>
        <v>0</v>
      </c>
      <c r="M30" s="36"/>
      <c r="N30" s="39"/>
      <c r="O30" s="133"/>
    </row>
    <row r="31" spans="1:15" x14ac:dyDescent="0.3">
      <c r="A31" s="3"/>
      <c r="B31" s="132" t="s">
        <v>19</v>
      </c>
      <c r="C31" s="132"/>
      <c r="D31" s="4"/>
      <c r="E31" s="4"/>
      <c r="F31" s="19" t="s">
        <v>20</v>
      </c>
      <c r="G31" s="33">
        <f>(F25)</f>
        <v>7</v>
      </c>
      <c r="H31" s="4"/>
      <c r="I31" s="19" t="s">
        <v>21</v>
      </c>
      <c r="J31" s="34">
        <f>(G25)</f>
        <v>7.1844738349999995</v>
      </c>
      <c r="K31" s="4"/>
      <c r="L31" s="4"/>
      <c r="M31" s="4"/>
      <c r="N31" s="5"/>
      <c r="O31" s="133"/>
    </row>
    <row r="32" spans="1:15" ht="15" thickBot="1" x14ac:dyDescent="0.3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  <c r="O32" s="133"/>
    </row>
    <row r="33" spans="1:15" x14ac:dyDescent="0.3">
      <c r="A33" s="148"/>
      <c r="B33" s="149"/>
      <c r="C33" s="149"/>
      <c r="D33" s="149"/>
      <c r="E33" s="149"/>
      <c r="F33" s="149"/>
      <c r="G33" s="149"/>
      <c r="H33" s="149"/>
      <c r="I33" s="152" t="s">
        <v>22</v>
      </c>
      <c r="J33" s="153"/>
      <c r="K33" s="154"/>
      <c r="L33" s="88"/>
      <c r="M33" s="121">
        <f>L25+L28+L29+L30+N29</f>
        <v>10029.52547366</v>
      </c>
      <c r="N33" s="122"/>
      <c r="O33" s="133"/>
    </row>
    <row r="34" spans="1:15" x14ac:dyDescent="0.3">
      <c r="A34" s="150"/>
      <c r="B34" s="151"/>
      <c r="C34" s="151"/>
      <c r="D34" s="151"/>
      <c r="E34" s="151"/>
      <c r="F34" s="151"/>
      <c r="G34" s="151"/>
      <c r="H34" s="151"/>
      <c r="I34" s="134" t="s">
        <v>69</v>
      </c>
      <c r="J34" s="135"/>
      <c r="K34" s="123"/>
      <c r="L34" s="89" t="s">
        <v>70</v>
      </c>
      <c r="M34" s="116">
        <f>(M33*0.5/100)</f>
        <v>50.1476273683</v>
      </c>
      <c r="N34" s="117"/>
      <c r="O34" s="133"/>
    </row>
    <row r="35" spans="1:15" x14ac:dyDescent="0.3">
      <c r="A35" s="150"/>
      <c r="B35" s="151"/>
      <c r="C35" s="151"/>
      <c r="D35" s="151"/>
      <c r="E35" s="151"/>
      <c r="F35" s="151"/>
      <c r="G35" s="151"/>
      <c r="H35" s="151"/>
      <c r="I35" s="134" t="s">
        <v>23</v>
      </c>
      <c r="J35" s="135"/>
      <c r="K35" s="123"/>
      <c r="L35" s="89" t="s">
        <v>81</v>
      </c>
      <c r="M35" s="116">
        <f>(M33+M34)</f>
        <v>10079.6731010283</v>
      </c>
      <c r="N35" s="123"/>
      <c r="O35" s="133"/>
    </row>
    <row r="36" spans="1:15" ht="15" thickBot="1" x14ac:dyDescent="0.35">
      <c r="A36" s="85"/>
      <c r="B36" s="86"/>
      <c r="C36" s="86"/>
      <c r="D36" s="86"/>
      <c r="E36" s="86"/>
      <c r="F36" s="86"/>
      <c r="G36" s="86"/>
      <c r="H36" s="86"/>
      <c r="I36" s="134" t="s">
        <v>78</v>
      </c>
      <c r="J36" s="135"/>
      <c r="K36" s="123"/>
      <c r="L36" s="89" t="s">
        <v>80</v>
      </c>
      <c r="M36" s="116">
        <f>(M35*9/100)</f>
        <v>907.17057909254697</v>
      </c>
      <c r="N36" s="117"/>
      <c r="O36" s="133"/>
    </row>
    <row r="37" spans="1:15" x14ac:dyDescent="0.3">
      <c r="A37" s="41" t="s">
        <v>26</v>
      </c>
      <c r="B37" s="42"/>
      <c r="C37" s="42"/>
      <c r="D37" s="42"/>
      <c r="E37" s="42" t="s">
        <v>52</v>
      </c>
      <c r="F37" s="42"/>
      <c r="G37" s="43"/>
      <c r="H37" s="32"/>
      <c r="I37" s="134" t="s">
        <v>79</v>
      </c>
      <c r="J37" s="135"/>
      <c r="K37" s="123"/>
      <c r="L37" s="89" t="s">
        <v>80</v>
      </c>
      <c r="M37" s="112">
        <f>(M35*9/100)</f>
        <v>907.17057909254697</v>
      </c>
      <c r="N37" s="113"/>
      <c r="O37" s="133"/>
    </row>
    <row r="38" spans="1:15" x14ac:dyDescent="0.3">
      <c r="A38" s="44"/>
      <c r="B38" s="45"/>
      <c r="C38" s="45"/>
      <c r="D38" s="45"/>
      <c r="E38" s="45"/>
      <c r="F38" s="45"/>
      <c r="G38" s="46"/>
      <c r="H38" s="62"/>
      <c r="I38" s="134" t="s">
        <v>54</v>
      </c>
      <c r="J38" s="135"/>
      <c r="K38" s="123"/>
      <c r="L38" s="89"/>
      <c r="M38" s="112"/>
      <c r="N38" s="113"/>
      <c r="O38" s="133"/>
    </row>
    <row r="39" spans="1:15" ht="15" thickBot="1" x14ac:dyDescent="0.35">
      <c r="A39" s="44" t="s">
        <v>27</v>
      </c>
      <c r="B39" s="45" t="s">
        <v>75</v>
      </c>
      <c r="C39" s="45"/>
      <c r="D39" s="45"/>
      <c r="E39" s="45"/>
      <c r="F39" s="45"/>
      <c r="G39" s="46"/>
      <c r="H39" s="32"/>
      <c r="I39" s="134" t="s">
        <v>24</v>
      </c>
      <c r="J39" s="135"/>
      <c r="K39" s="123"/>
      <c r="L39" s="87"/>
      <c r="M39" s="99"/>
      <c r="N39" s="100"/>
      <c r="O39" s="133"/>
    </row>
    <row r="40" spans="1:15" ht="16.2" thickBot="1" x14ac:dyDescent="0.35">
      <c r="A40" s="61" t="s">
        <v>76</v>
      </c>
      <c r="B40" s="59"/>
      <c r="C40" s="59"/>
      <c r="D40" s="59"/>
      <c r="E40" s="59"/>
      <c r="F40" s="59"/>
      <c r="G40" s="60"/>
      <c r="H40" s="32"/>
      <c r="I40" s="136" t="s">
        <v>25</v>
      </c>
      <c r="J40" s="137"/>
      <c r="K40" s="138"/>
      <c r="L40" s="50"/>
      <c r="M40" s="101">
        <f>SUM(M35:M39)</f>
        <v>11894.014259213393</v>
      </c>
      <c r="N40" s="102"/>
      <c r="O40" s="133"/>
    </row>
    <row r="41" spans="1:15" ht="15" thickBot="1" x14ac:dyDescent="0.35">
      <c r="A41" s="47" t="s">
        <v>53</v>
      </c>
      <c r="B41" s="48"/>
      <c r="C41" s="48"/>
      <c r="D41" s="48"/>
      <c r="E41" s="48"/>
      <c r="F41" s="48"/>
      <c r="G41" s="49"/>
      <c r="H41" s="32"/>
      <c r="I41" s="32"/>
      <c r="J41" s="3"/>
      <c r="K41" s="4"/>
      <c r="L41" s="1"/>
      <c r="M41" s="1"/>
      <c r="N41" s="2"/>
      <c r="O41" s="133"/>
    </row>
    <row r="42" spans="1:15" x14ac:dyDescent="0.3">
      <c r="A42" s="16" t="s">
        <v>28</v>
      </c>
      <c r="B42" s="17"/>
      <c r="C42" s="1"/>
      <c r="D42" s="1"/>
      <c r="E42" s="1"/>
      <c r="F42" s="1"/>
      <c r="G42" s="2"/>
      <c r="H42" s="4"/>
      <c r="I42" s="4"/>
      <c r="J42" s="3"/>
      <c r="K42" s="4"/>
      <c r="L42" s="4"/>
      <c r="M42" s="4"/>
      <c r="N42" s="5"/>
      <c r="O42" s="133"/>
    </row>
    <row r="43" spans="1:15" x14ac:dyDescent="0.3">
      <c r="A43" s="3" t="s">
        <v>29</v>
      </c>
      <c r="B43" s="4"/>
      <c r="C43" s="4"/>
      <c r="D43" s="4"/>
      <c r="E43" s="4"/>
      <c r="F43" s="4"/>
      <c r="G43" s="5"/>
      <c r="H43" s="4"/>
      <c r="I43" s="4"/>
      <c r="J43" s="3"/>
      <c r="K43" s="4"/>
      <c r="L43" s="4"/>
      <c r="M43" s="4"/>
      <c r="N43" s="5"/>
      <c r="O43" s="133"/>
    </row>
    <row r="44" spans="1:15" x14ac:dyDescent="0.3">
      <c r="A44" s="3"/>
      <c r="B44" s="4"/>
      <c r="C44" s="4"/>
      <c r="D44" s="4"/>
      <c r="E44" s="4"/>
      <c r="F44" s="4"/>
      <c r="G44" s="5"/>
      <c r="H44" s="4"/>
      <c r="I44" s="4"/>
      <c r="J44" s="3"/>
      <c r="K44" s="4"/>
      <c r="L44" s="4"/>
      <c r="M44" s="4"/>
      <c r="N44" s="5"/>
      <c r="O44" s="133"/>
    </row>
    <row r="45" spans="1:15" x14ac:dyDescent="0.3">
      <c r="A45" s="3" t="s">
        <v>30</v>
      </c>
      <c r="B45" s="4"/>
      <c r="C45" s="4"/>
      <c r="D45" s="4"/>
      <c r="E45" s="4"/>
      <c r="F45" s="4"/>
      <c r="G45" s="5"/>
      <c r="H45" s="4"/>
      <c r="I45" s="4"/>
      <c r="J45" s="3"/>
      <c r="K45" s="4"/>
      <c r="L45" s="4"/>
      <c r="M45" s="4"/>
      <c r="N45" s="5"/>
      <c r="O45" s="133"/>
    </row>
    <row r="46" spans="1:15" x14ac:dyDescent="0.3">
      <c r="A46" s="51" t="s">
        <v>31</v>
      </c>
      <c r="B46" s="52"/>
      <c r="C46" s="52"/>
      <c r="D46" s="52"/>
      <c r="E46" s="52"/>
      <c r="F46" s="52"/>
      <c r="G46" s="53"/>
      <c r="H46" s="4"/>
      <c r="I46" s="4"/>
      <c r="J46" s="3"/>
      <c r="K46" s="4"/>
      <c r="L46" s="4"/>
      <c r="M46" s="4"/>
      <c r="N46" s="5"/>
      <c r="O46" s="133"/>
    </row>
    <row r="47" spans="1:15" ht="15.6" x14ac:dyDescent="0.3">
      <c r="A47" s="54" t="s">
        <v>67</v>
      </c>
      <c r="B47" s="55"/>
      <c r="C47" s="55"/>
      <c r="D47" s="55"/>
      <c r="E47" s="55"/>
      <c r="F47" s="55"/>
      <c r="G47" s="53"/>
      <c r="H47" s="4"/>
      <c r="I47" s="4"/>
      <c r="J47" s="3"/>
      <c r="K47" s="4"/>
      <c r="L47" s="4"/>
      <c r="M47" s="4"/>
      <c r="N47" s="5"/>
      <c r="O47" s="133"/>
    </row>
    <row r="48" spans="1:15" x14ac:dyDescent="0.3">
      <c r="A48" s="18" t="s">
        <v>32</v>
      </c>
      <c r="B48" s="19"/>
      <c r="C48" s="4"/>
      <c r="D48" s="4"/>
      <c r="E48" s="4"/>
      <c r="F48" s="4"/>
      <c r="G48" s="5"/>
      <c r="H48" s="4"/>
      <c r="I48" s="4"/>
      <c r="J48" s="3"/>
      <c r="K48" s="4"/>
      <c r="L48" s="4"/>
      <c r="M48" s="4"/>
      <c r="N48" s="5"/>
      <c r="O48" s="133"/>
    </row>
    <row r="49" spans="1:15" x14ac:dyDescent="0.3">
      <c r="A49" s="20" t="s">
        <v>33</v>
      </c>
      <c r="B49" s="21"/>
      <c r="C49" s="21"/>
      <c r="D49" s="21"/>
      <c r="E49" s="21"/>
      <c r="F49" s="21"/>
      <c r="G49" s="22"/>
      <c r="H49" s="21"/>
      <c r="I49" s="21"/>
      <c r="J49" s="20"/>
      <c r="K49" s="4"/>
      <c r="L49" s="4"/>
      <c r="M49" s="4"/>
      <c r="N49" s="5"/>
      <c r="O49" s="133"/>
    </row>
    <row r="50" spans="1:15" x14ac:dyDescent="0.3">
      <c r="A50" s="20" t="s">
        <v>34</v>
      </c>
      <c r="B50" s="21"/>
      <c r="C50" s="21"/>
      <c r="D50" s="21"/>
      <c r="E50" s="21"/>
      <c r="F50" s="21"/>
      <c r="G50" s="22"/>
      <c r="H50" s="21"/>
      <c r="I50" s="21"/>
      <c r="J50" s="20"/>
      <c r="K50" s="4"/>
      <c r="L50" s="4"/>
      <c r="M50" s="4"/>
      <c r="N50" s="5"/>
      <c r="O50" s="133"/>
    </row>
    <row r="51" spans="1:15" x14ac:dyDescent="0.3">
      <c r="A51" s="20" t="s">
        <v>35</v>
      </c>
      <c r="B51" s="21"/>
      <c r="C51" s="21"/>
      <c r="D51" s="21"/>
      <c r="E51" s="21"/>
      <c r="F51" s="21"/>
      <c r="G51" s="22"/>
      <c r="H51" s="21"/>
      <c r="I51" s="21"/>
      <c r="J51" s="20"/>
      <c r="K51" s="4"/>
      <c r="L51" s="4"/>
      <c r="M51" s="4"/>
      <c r="N51" s="5"/>
      <c r="O51" s="133"/>
    </row>
    <row r="52" spans="1:15" ht="15" thickBot="1" x14ac:dyDescent="0.35">
      <c r="A52" s="23" t="s">
        <v>36</v>
      </c>
      <c r="B52" s="24"/>
      <c r="C52" s="24"/>
      <c r="D52" s="24"/>
      <c r="E52" s="24"/>
      <c r="F52" s="24"/>
      <c r="G52" s="25"/>
      <c r="H52" s="21"/>
      <c r="I52" s="21"/>
      <c r="J52" s="23"/>
      <c r="K52" s="7"/>
      <c r="L52" s="7"/>
      <c r="M52" s="7"/>
      <c r="N52" s="8"/>
      <c r="O52" s="133"/>
    </row>
    <row r="53" spans="1:15" ht="15.6" x14ac:dyDescent="0.3">
      <c r="A53" s="27" t="s">
        <v>37</v>
      </c>
      <c r="B53" s="28"/>
      <c r="C53" s="28"/>
      <c r="D53" s="1"/>
      <c r="E53" s="1"/>
      <c r="F53" s="1"/>
      <c r="G53" s="2"/>
      <c r="H53" s="1"/>
      <c r="I53" s="1"/>
      <c r="J53" s="16" t="s">
        <v>43</v>
      </c>
      <c r="K53" s="17"/>
      <c r="L53" s="1"/>
      <c r="M53" s="1"/>
      <c r="N53" s="2"/>
      <c r="O53" s="133"/>
    </row>
    <row r="54" spans="1:15" x14ac:dyDescent="0.3">
      <c r="A54" s="26" t="s">
        <v>38</v>
      </c>
      <c r="B54" s="4"/>
      <c r="C54" s="4"/>
      <c r="D54" s="4"/>
      <c r="E54" s="4"/>
      <c r="F54" s="4"/>
      <c r="G54" s="5"/>
      <c r="H54" s="4"/>
      <c r="I54" s="4"/>
      <c r="J54" s="3" t="s">
        <v>44</v>
      </c>
      <c r="K54" s="4"/>
      <c r="L54" s="4"/>
      <c r="M54" s="4"/>
      <c r="N54" s="5"/>
      <c r="O54" s="133"/>
    </row>
    <row r="55" spans="1:15" x14ac:dyDescent="0.3">
      <c r="A55" s="26" t="s">
        <v>39</v>
      </c>
      <c r="B55" s="4"/>
      <c r="C55" s="4"/>
      <c r="D55" s="4"/>
      <c r="E55" s="4"/>
      <c r="F55" s="4"/>
      <c r="G55" s="5"/>
      <c r="H55" s="4"/>
      <c r="I55" s="4"/>
      <c r="J55" s="3"/>
      <c r="K55" s="4"/>
      <c r="L55" s="4"/>
      <c r="M55" s="4"/>
      <c r="N55" s="5"/>
      <c r="O55" s="133"/>
    </row>
    <row r="56" spans="1:15" x14ac:dyDescent="0.3">
      <c r="A56" s="26" t="s">
        <v>40</v>
      </c>
      <c r="B56" s="4"/>
      <c r="C56" s="4"/>
      <c r="D56" s="4"/>
      <c r="E56" s="4"/>
      <c r="F56" s="4"/>
      <c r="G56" s="5"/>
      <c r="H56" s="4"/>
      <c r="I56" s="4"/>
      <c r="J56" s="30" t="s">
        <v>45</v>
      </c>
      <c r="K56" s="31"/>
      <c r="L56" s="31"/>
      <c r="M56" s="4"/>
      <c r="N56" s="5"/>
      <c r="O56" s="133"/>
    </row>
    <row r="57" spans="1:15" x14ac:dyDescent="0.3">
      <c r="A57" s="26" t="s">
        <v>41</v>
      </c>
      <c r="B57" s="4"/>
      <c r="C57" s="4"/>
      <c r="D57" s="4"/>
      <c r="E57" s="4"/>
      <c r="F57" s="4"/>
      <c r="G57" s="5"/>
      <c r="H57" s="4"/>
      <c r="I57" s="4"/>
      <c r="J57" s="20" t="s">
        <v>46</v>
      </c>
      <c r="K57" s="21"/>
      <c r="L57" s="21"/>
      <c r="M57" s="4"/>
      <c r="N57" s="5"/>
      <c r="O57" s="133"/>
    </row>
    <row r="58" spans="1:15" ht="15" thickBot="1" x14ac:dyDescent="0.35">
      <c r="A58" s="29" t="s">
        <v>42</v>
      </c>
      <c r="B58" s="7"/>
      <c r="C58" s="7"/>
      <c r="D58" s="7"/>
      <c r="E58" s="7"/>
      <c r="F58" s="7"/>
      <c r="G58" s="8"/>
      <c r="H58" s="7"/>
      <c r="I58" s="7"/>
      <c r="J58" s="56" t="s">
        <v>66</v>
      </c>
      <c r="K58" s="57"/>
      <c r="L58" s="57"/>
      <c r="M58" s="57"/>
      <c r="N58" s="58"/>
      <c r="O58" s="133"/>
    </row>
    <row r="59" spans="1:15" x14ac:dyDescent="0.3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</row>
  </sheetData>
  <mergeCells count="52">
    <mergeCell ref="A59:O59"/>
    <mergeCell ref="A2:O2"/>
    <mergeCell ref="O3:O58"/>
    <mergeCell ref="I37:K37"/>
    <mergeCell ref="I38:K38"/>
    <mergeCell ref="I39:K39"/>
    <mergeCell ref="I40:K40"/>
    <mergeCell ref="I36:K36"/>
    <mergeCell ref="A4:N4"/>
    <mergeCell ref="A6:N6"/>
    <mergeCell ref="A5:N5"/>
    <mergeCell ref="A33:H35"/>
    <mergeCell ref="I33:K33"/>
    <mergeCell ref="I34:K34"/>
    <mergeCell ref="I35:K35"/>
    <mergeCell ref="A3:N3"/>
    <mergeCell ref="M33:N33"/>
    <mergeCell ref="M35:N35"/>
    <mergeCell ref="M37:N37"/>
    <mergeCell ref="A7:N7"/>
    <mergeCell ref="A8:G8"/>
    <mergeCell ref="H8:N8"/>
    <mergeCell ref="A9:G9"/>
    <mergeCell ref="H9:N9"/>
    <mergeCell ref="H10:N10"/>
    <mergeCell ref="A10:G10"/>
    <mergeCell ref="D19:E19"/>
    <mergeCell ref="J18:J19"/>
    <mergeCell ref="B31:C31"/>
    <mergeCell ref="A13:G13"/>
    <mergeCell ref="M36:N36"/>
    <mergeCell ref="M40:N40"/>
    <mergeCell ref="A16:N16"/>
    <mergeCell ref="A17:N17"/>
    <mergeCell ref="H15:N15"/>
    <mergeCell ref="A18:A19"/>
    <mergeCell ref="F18:F19"/>
    <mergeCell ref="G18:G19"/>
    <mergeCell ref="H18:H19"/>
    <mergeCell ref="I18:I19"/>
    <mergeCell ref="K18:K19"/>
    <mergeCell ref="M38:N38"/>
    <mergeCell ref="L18:L19"/>
    <mergeCell ref="M18:M19"/>
    <mergeCell ref="N18:N19"/>
    <mergeCell ref="B19:C19"/>
    <mergeCell ref="M34:N34"/>
    <mergeCell ref="A14:G14"/>
    <mergeCell ref="A15:G15"/>
    <mergeCell ref="H13:N13"/>
    <mergeCell ref="H14:N14"/>
    <mergeCell ref="M39:N39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2025-04-01T05:08:53Z</cp:lastPrinted>
  <dcterms:created xsi:type="dcterms:W3CDTF">2022-11-04T14:15:19Z</dcterms:created>
  <dcterms:modified xsi:type="dcterms:W3CDTF">2025-04-01T05:09:47Z</dcterms:modified>
</cp:coreProperties>
</file>